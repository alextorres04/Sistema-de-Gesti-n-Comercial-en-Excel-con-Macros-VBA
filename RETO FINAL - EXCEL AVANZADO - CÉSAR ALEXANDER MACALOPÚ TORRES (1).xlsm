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C7C644BE-53D6-4479-9307-D8CC87DAAC7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egistro" sheetId="8" r:id="rId1"/>
    <sheet name="Productos" sheetId="5" r:id="rId2"/>
    <sheet name="Vendedor" sheetId="6" r:id="rId3"/>
    <sheet name="Cliente" sheetId="7" r:id="rId4"/>
    <sheet name="Boleta de venta" sheetId="4" r:id="rId5"/>
    <sheet name="Amortización francés" sheetId="9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9" l="1"/>
  <c r="J9" i="9"/>
  <c r="J10" i="9"/>
  <c r="F14" i="4"/>
  <c r="F15" i="9"/>
  <c r="E15" i="9"/>
  <c r="D15" i="9"/>
  <c r="C15" i="9"/>
  <c r="F14" i="9"/>
  <c r="E14" i="9"/>
  <c r="D14" i="9"/>
  <c r="C14" i="9"/>
  <c r="F13" i="9"/>
  <c r="E13" i="9"/>
  <c r="D13" i="9"/>
  <c r="C13" i="9"/>
  <c r="F12" i="9"/>
  <c r="E12" i="9"/>
  <c r="D12" i="9"/>
  <c r="C12" i="9"/>
  <c r="F11" i="9"/>
  <c r="E11" i="9"/>
  <c r="D11" i="9"/>
  <c r="C11" i="9"/>
  <c r="F10" i="9"/>
  <c r="E10" i="9"/>
  <c r="D10" i="9"/>
  <c r="C10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F5" i="9"/>
  <c r="E5" i="9"/>
  <c r="D5" i="9"/>
  <c r="C5" i="9"/>
  <c r="F4" i="9"/>
  <c r="E4" i="9"/>
  <c r="D4" i="9"/>
  <c r="C4" i="9"/>
  <c r="F3" i="9"/>
  <c r="B14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B9" i="4"/>
  <c r="F8" i="4"/>
  <c r="E8" i="4"/>
  <c r="D8" i="4"/>
  <c r="C8" i="4"/>
  <c r="B8" i="4"/>
  <c r="F7" i="4"/>
  <c r="E7" i="4"/>
  <c r="D7" i="4"/>
  <c r="C7" i="4"/>
  <c r="B7" i="4"/>
  <c r="F6" i="4"/>
  <c r="E6" i="4"/>
  <c r="D6" i="4"/>
  <c r="C6" i="4"/>
  <c r="B6" i="4"/>
  <c r="F5" i="4"/>
  <c r="E5" i="4"/>
  <c r="D5" i="4"/>
  <c r="C5" i="4"/>
  <c r="B5" i="4"/>
  <c r="F4" i="4"/>
  <c r="E4" i="4"/>
  <c r="D4" i="4"/>
  <c r="C4" i="4"/>
  <c r="B4" i="4"/>
  <c r="F3" i="4"/>
  <c r="F15" i="4" s="1"/>
  <c r="E3" i="4"/>
  <c r="D3" i="4"/>
  <c r="C3" i="4"/>
  <c r="B3" i="4"/>
  <c r="F1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</author>
  </authors>
  <commentList>
    <comment ref="F3" authorId="0" shapeId="0" xr:uid="{00000000-0006-0000-0500-000001000000}">
      <text>
        <r>
          <rPr>
            <b/>
            <sz val="9"/>
            <rFont val="Tahoma"/>
            <family val="2"/>
          </rPr>
          <t>0.- EL VALOR DEL PRÉSTAMO</t>
        </r>
      </text>
    </comment>
    <comment ref="C4" authorId="0" shapeId="0" xr:uid="{00000000-0006-0000-0500-000002000000}">
      <text>
        <r>
          <rPr>
            <b/>
            <sz val="9"/>
            <rFont val="Tahoma"/>
            <family val="2"/>
          </rPr>
          <t>2.- SALDO FINAL * INTERÉS MENSUAL</t>
        </r>
      </text>
    </comment>
    <comment ref="D4" authorId="0" shapeId="0" xr:uid="{00000000-0006-0000-0500-000003000000}">
      <text>
        <r>
          <rPr>
            <b/>
            <sz val="9"/>
            <rFont val="Tahoma"/>
            <family val="2"/>
          </rPr>
          <t>3.- CUOTA - INTERES</t>
        </r>
      </text>
    </comment>
    <comment ref="E4" authorId="0" shapeId="0" xr:uid="{00000000-0006-0000-0500-000004000000}">
      <text>
        <r>
          <rPr>
            <b/>
            <sz val="9"/>
            <rFont val="Tahoma"/>
            <family val="2"/>
          </rPr>
          <t>1.- CUOTA CONSTANTE</t>
        </r>
      </text>
    </comment>
    <comment ref="F4" authorId="0" shapeId="0" xr:uid="{00000000-0006-0000-0500-000005000000}">
      <text>
        <r>
          <rPr>
            <b/>
            <sz val="9"/>
            <rFont val="Tahoma"/>
            <family val="2"/>
          </rPr>
          <t>4.- SALDO ANTERIOR - CAPITAL</t>
        </r>
      </text>
    </comment>
  </commentList>
</comments>
</file>

<file path=xl/sharedStrings.xml><?xml version="1.0" encoding="utf-8"?>
<sst xmlns="http://schemas.openxmlformats.org/spreadsheetml/2006/main" count="114" uniqueCount="90">
  <si>
    <t>Registro Productos</t>
  </si>
  <si>
    <t>Registro Vendedor</t>
  </si>
  <si>
    <t>Registro Clientes</t>
  </si>
  <si>
    <t>Artículo</t>
  </si>
  <si>
    <t>Nombre</t>
  </si>
  <si>
    <t>Marca</t>
  </si>
  <si>
    <t>Apellido</t>
  </si>
  <si>
    <t>Precio</t>
  </si>
  <si>
    <t>Edad</t>
  </si>
  <si>
    <t>Teléfono</t>
  </si>
  <si>
    <t>Fecha de nacimiento</t>
  </si>
  <si>
    <t>Cámara</t>
  </si>
  <si>
    <t>Canon</t>
  </si>
  <si>
    <t>Auriculares</t>
  </si>
  <si>
    <t>Sony</t>
  </si>
  <si>
    <t>Impresora</t>
  </si>
  <si>
    <t>HP</t>
  </si>
  <si>
    <t>Mouse</t>
  </si>
  <si>
    <t>Razer</t>
  </si>
  <si>
    <t>Teclado</t>
  </si>
  <si>
    <t>Logitech</t>
  </si>
  <si>
    <t>Monitor</t>
  </si>
  <si>
    <t>LG</t>
  </si>
  <si>
    <t>Tablet</t>
  </si>
  <si>
    <t>Apple</t>
  </si>
  <si>
    <t>Samsung</t>
  </si>
  <si>
    <t>Laptop</t>
  </si>
  <si>
    <t>Dell</t>
  </si>
  <si>
    <t>Torres</t>
  </si>
  <si>
    <t>Raúl</t>
  </si>
  <si>
    <t>Díaz</t>
  </si>
  <si>
    <t>Elena</t>
  </si>
  <si>
    <t>Ramírez</t>
  </si>
  <si>
    <t>Javier</t>
  </si>
  <si>
    <t>Sánchez</t>
  </si>
  <si>
    <t>Lucía</t>
  </si>
  <si>
    <t>Martínez</t>
  </si>
  <si>
    <t>Pedro</t>
  </si>
  <si>
    <t>López</t>
  </si>
  <si>
    <t>María</t>
  </si>
  <si>
    <t>Fernández</t>
  </si>
  <si>
    <t>Luis</t>
  </si>
  <si>
    <t>Rodríguez</t>
  </si>
  <si>
    <t>Ana</t>
  </si>
  <si>
    <t>Gómez</t>
  </si>
  <si>
    <t>Carlos</t>
  </si>
  <si>
    <t>Pérez</t>
  </si>
  <si>
    <t>Isabel</t>
  </si>
  <si>
    <t>Ortega</t>
  </si>
  <si>
    <t>Hugo</t>
  </si>
  <si>
    <t>Reyes</t>
  </si>
  <si>
    <t>Valeria</t>
  </si>
  <si>
    <t>Flores</t>
  </si>
  <si>
    <t>Ricardo</t>
  </si>
  <si>
    <t>Guzmán</t>
  </si>
  <si>
    <t>Camila</t>
  </si>
  <si>
    <t>Salazar</t>
  </si>
  <si>
    <t>Fernando</t>
  </si>
  <si>
    <t>Rivas</t>
  </si>
  <si>
    <t>Andrea</t>
  </si>
  <si>
    <t>Castro</t>
  </si>
  <si>
    <t>Jorge</t>
  </si>
  <si>
    <t>Mendoza</t>
  </si>
  <si>
    <t>Cliente</t>
  </si>
  <si>
    <t>Telf. cliente</t>
  </si>
  <si>
    <t>Vendedor</t>
  </si>
  <si>
    <t>Detalles del producto</t>
  </si>
  <si>
    <t>Subtotal</t>
  </si>
  <si>
    <t>Impuesto</t>
  </si>
  <si>
    <t>Total</t>
  </si>
  <si>
    <t>Periodos</t>
  </si>
  <si>
    <t>Interés</t>
  </si>
  <si>
    <t>Capital</t>
  </si>
  <si>
    <t>Cuota</t>
  </si>
  <si>
    <t>Saldo</t>
  </si>
  <si>
    <t>Préstamo</t>
  </si>
  <si>
    <t>Tasa anual</t>
  </si>
  <si>
    <t>Plazo</t>
  </si>
  <si>
    <t>meses</t>
  </si>
  <si>
    <t>Tasa mensual</t>
  </si>
  <si>
    <t>Supongamos que la bodega quiere hacer un préstamo de 40000, con una tasa anual del 18% en un plazo de 12 meses</t>
  </si>
  <si>
    <t>Iphone</t>
  </si>
  <si>
    <t>Axel</t>
  </si>
  <si>
    <t>Castaños</t>
  </si>
  <si>
    <t>Jackson</t>
  </si>
  <si>
    <t>Carro</t>
  </si>
  <si>
    <t>Tesla</t>
  </si>
  <si>
    <t>Susana</t>
  </si>
  <si>
    <t>convertir tasa anual a mensual</t>
  </si>
  <si>
    <t>cuota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</si>
</sst>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_-&quot;S/&quot;\ * #,##0.00_-;\-&quot;S/&quot;\ * #,##0.00_-;_-&quot;S/&quot;\ * &quot;-&quot;??_-;_-@_-"/>
    <numFmt numFmtId="165" formatCode="_([$$-409]* #,##0.00_);_([$$-409]* \(#,##0.00\);_([$$-409]* &quot;-&quot;??_);_(@_)"/>
  </numFmts>
  <fonts count="8">
    <font>
      <sz val="11"/>
      <color theme="1"/>
      <name val="Aptos Narrow"/>
      <charset val="134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charset val="134"/>
      <scheme val="minor"/>
    </font>
    <font>
      <b/>
      <u/>
      <sz val="10"/>
      <color theme="1"/>
      <name val="Verdana"/>
      <charset val="134"/>
    </font>
    <font>
      <sz val="11"/>
      <color theme="1"/>
      <name val="Aptos Narrow"/>
      <charset val="134"/>
      <scheme val="minor"/>
    </font>
    <font>
      <sz val="11"/>
      <color rgb="FF000000"/>
      <name val="Aptos Narrow"/>
      <family val="2"/>
    </font>
    <font>
      <b/>
      <sz val="9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25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8" fontId="0" fillId="0" borderId="1" xfId="1" applyNumberFormat="1" applyFont="1" applyBorder="1"/>
    <xf numFmtId="2" fontId="0" fillId="0" borderId="1" xfId="1" applyNumberFormat="1" applyFont="1" applyBorder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3" fontId="0" fillId="0" borderId="1" xfId="0" applyNumberFormat="1" applyBorder="1" applyAlignment="1">
      <alignment vertical="center"/>
    </xf>
    <xf numFmtId="9" fontId="0" fillId="0" borderId="1" xfId="0" applyNumberFormat="1" applyBorder="1" applyAlignment="1">
      <alignment vertical="center"/>
    </xf>
    <xf numFmtId="10" fontId="0" fillId="0" borderId="1" xfId="0" applyNumberFormat="1" applyBorder="1" applyAlignment="1">
      <alignment vertical="center"/>
    </xf>
    <xf numFmtId="0" fontId="0" fillId="0" borderId="1" xfId="0" applyBorder="1"/>
    <xf numFmtId="0" fontId="3" fillId="2" borderId="2" xfId="0" applyFont="1" applyFill="1" applyBorder="1" applyAlignment="1">
      <alignment horizontal="center"/>
    </xf>
    <xf numFmtId="14" fontId="0" fillId="0" borderId="1" xfId="0" applyNumberFormat="1" applyBorder="1"/>
    <xf numFmtId="0" fontId="3" fillId="2" borderId="3" xfId="0" applyFont="1" applyFill="1" applyBorder="1" applyAlignment="1">
      <alignment horizontal="center"/>
    </xf>
    <xf numFmtId="0" fontId="2" fillId="0" borderId="1" xfId="0" applyFont="1" applyBorder="1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3" borderId="0" xfId="0" applyFill="1"/>
    <xf numFmtId="0" fontId="0" fillId="2" borderId="0" xfId="0" applyFill="1"/>
    <xf numFmtId="165" fontId="0" fillId="4" borderId="0" xfId="1" applyNumberFormat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10</xdr:row>
          <xdr:rowOff>171450</xdr:rowOff>
        </xdr:from>
        <xdr:to>
          <xdr:col>2</xdr:col>
          <xdr:colOff>552450</xdr:colOff>
          <xdr:row>12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11</xdr:row>
          <xdr:rowOff>0</xdr:rowOff>
        </xdr:from>
        <xdr:to>
          <xdr:col>5</xdr:col>
          <xdr:colOff>295275</xdr:colOff>
          <xdr:row>12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11</xdr:row>
          <xdr:rowOff>0</xdr:rowOff>
        </xdr:from>
        <xdr:to>
          <xdr:col>8</xdr:col>
          <xdr:colOff>552450</xdr:colOff>
          <xdr:row>12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I10"/>
  <sheetViews>
    <sheetView tabSelected="1" workbookViewId="0">
      <selection activeCell="K14" sqref="K14"/>
    </sheetView>
  </sheetViews>
  <sheetFormatPr defaultColWidth="11" defaultRowHeight="13.5"/>
  <cols>
    <col min="5" max="5" width="17.75" customWidth="1"/>
  </cols>
  <sheetData>
    <row r="5" spans="2:9" ht="15">
      <c r="B5" s="18" t="s">
        <v>0</v>
      </c>
      <c r="C5" s="16"/>
      <c r="E5" s="16" t="s">
        <v>1</v>
      </c>
      <c r="F5" s="16"/>
      <c r="H5" s="16" t="s">
        <v>2</v>
      </c>
      <c r="I5" s="16"/>
    </row>
    <row r="7" spans="2:9" ht="15">
      <c r="B7" s="1" t="s">
        <v>3</v>
      </c>
      <c r="C7" s="19" t="s">
        <v>85</v>
      </c>
      <c r="E7" s="1" t="s">
        <v>4</v>
      </c>
      <c r="F7" s="19" t="s">
        <v>84</v>
      </c>
      <c r="H7" s="1" t="s">
        <v>4</v>
      </c>
      <c r="I7" s="19" t="s">
        <v>87</v>
      </c>
    </row>
    <row r="8" spans="2:9" ht="15">
      <c r="B8" s="1" t="s">
        <v>5</v>
      </c>
      <c r="C8" s="19" t="s">
        <v>86</v>
      </c>
      <c r="E8" s="1" t="s">
        <v>6</v>
      </c>
      <c r="F8" s="19" t="s">
        <v>28</v>
      </c>
      <c r="H8" s="1" t="s">
        <v>6</v>
      </c>
      <c r="I8" s="19" t="s">
        <v>28</v>
      </c>
    </row>
    <row r="9" spans="2:9">
      <c r="B9" s="1" t="s">
        <v>7</v>
      </c>
      <c r="C9" s="20">
        <v>120000</v>
      </c>
      <c r="E9" s="1" t="s">
        <v>8</v>
      </c>
      <c r="F9" s="20">
        <v>20</v>
      </c>
      <c r="H9" s="1" t="s">
        <v>9</v>
      </c>
      <c r="I9" s="20">
        <v>983456789</v>
      </c>
    </row>
    <row r="10" spans="2:9">
      <c r="E10" s="1" t="s">
        <v>10</v>
      </c>
      <c r="F10" s="21">
        <v>38538</v>
      </c>
    </row>
  </sheetData>
  <mergeCells count="3">
    <mergeCell ref="B5:C5"/>
    <mergeCell ref="E5:F5"/>
    <mergeCell ref="H5:I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RegistrarProductos">
                <anchor moveWithCells="1" sizeWithCells="1">
                  <from>
                    <xdr:col>1</xdr:col>
                    <xdr:colOff>200025</xdr:colOff>
                    <xdr:row>10</xdr:row>
                    <xdr:rowOff>171450</xdr:rowOff>
                  </from>
                  <to>
                    <xdr:col>2</xdr:col>
                    <xdr:colOff>552450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RegistroVendedor">
                <anchor moveWithCells="1" sizeWithCells="1">
                  <from>
                    <xdr:col>4</xdr:col>
                    <xdr:colOff>371475</xdr:colOff>
                    <xdr:row>11</xdr:row>
                    <xdr:rowOff>0</xdr:rowOff>
                  </from>
                  <to>
                    <xdr:col>5</xdr:col>
                    <xdr:colOff>295275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Pict="0" macro="[0]!RegistroClientes">
                <anchor moveWithCells="1" sizeWithCells="1">
                  <from>
                    <xdr:col>7</xdr:col>
                    <xdr:colOff>247650</xdr:colOff>
                    <xdr:row>11</xdr:row>
                    <xdr:rowOff>0</xdr:rowOff>
                  </from>
                  <to>
                    <xdr:col>8</xdr:col>
                    <xdr:colOff>552450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3"/>
  <sheetViews>
    <sheetView workbookViewId="0">
      <selection activeCell="B5" sqref="B5"/>
    </sheetView>
  </sheetViews>
  <sheetFormatPr defaultColWidth="11" defaultRowHeight="13.5"/>
  <sheetData>
    <row r="2" spans="2:4">
      <c r="B2" s="14" t="s">
        <v>3</v>
      </c>
      <c r="C2" s="1" t="s">
        <v>5</v>
      </c>
      <c r="D2" s="12" t="s">
        <v>7</v>
      </c>
    </row>
    <row r="3" spans="2:4" ht="15">
      <c r="B3" s="17" t="s">
        <v>85</v>
      </c>
      <c r="C3" s="15" t="s">
        <v>86</v>
      </c>
      <c r="D3" s="11">
        <v>120000</v>
      </c>
    </row>
    <row r="4" spans="2:4" ht="15">
      <c r="B4" s="15" t="s">
        <v>9</v>
      </c>
      <c r="C4" s="15" t="s">
        <v>81</v>
      </c>
      <c r="D4" s="11">
        <v>1800</v>
      </c>
    </row>
    <row r="5" spans="2:4">
      <c r="B5" s="11" t="s">
        <v>11</v>
      </c>
      <c r="C5" s="11" t="s">
        <v>12</v>
      </c>
      <c r="D5" s="11">
        <v>500</v>
      </c>
    </row>
    <row r="6" spans="2:4">
      <c r="B6" s="11" t="s">
        <v>13</v>
      </c>
      <c r="C6" s="11" t="s">
        <v>14</v>
      </c>
      <c r="D6" s="11">
        <v>150</v>
      </c>
    </row>
    <row r="7" spans="2:4">
      <c r="B7" s="11" t="s">
        <v>15</v>
      </c>
      <c r="C7" s="11" t="s">
        <v>16</v>
      </c>
      <c r="D7" s="11">
        <v>200</v>
      </c>
    </row>
    <row r="8" spans="2:4">
      <c r="B8" s="11" t="s">
        <v>17</v>
      </c>
      <c r="C8" s="11" t="s">
        <v>18</v>
      </c>
      <c r="D8" s="11">
        <v>70</v>
      </c>
    </row>
    <row r="9" spans="2:4">
      <c r="B9" s="11" t="s">
        <v>19</v>
      </c>
      <c r="C9" s="11" t="s">
        <v>20</v>
      </c>
      <c r="D9" s="11">
        <v>50</v>
      </c>
    </row>
    <row r="10" spans="2:4">
      <c r="B10" s="11" t="s">
        <v>21</v>
      </c>
      <c r="C10" s="11" t="s">
        <v>22</v>
      </c>
      <c r="D10" s="11">
        <v>300</v>
      </c>
    </row>
    <row r="11" spans="2:4">
      <c r="B11" s="11" t="s">
        <v>23</v>
      </c>
      <c r="C11" s="11" t="s">
        <v>24</v>
      </c>
      <c r="D11" s="11">
        <v>600</v>
      </c>
    </row>
    <row r="12" spans="2:4">
      <c r="B12" s="11" t="s">
        <v>9</v>
      </c>
      <c r="C12" s="11" t="s">
        <v>25</v>
      </c>
      <c r="D12" s="11">
        <v>800</v>
      </c>
    </row>
    <row r="13" spans="2:4">
      <c r="B13" s="11" t="s">
        <v>26</v>
      </c>
      <c r="C13" s="11" t="s">
        <v>27</v>
      </c>
      <c r="D13" s="11">
        <v>1200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E13"/>
  <sheetViews>
    <sheetView workbookViewId="0">
      <selection activeCell="C3" sqref="C3"/>
    </sheetView>
  </sheetViews>
  <sheetFormatPr defaultColWidth="11" defaultRowHeight="13.5"/>
  <cols>
    <col min="5" max="5" width="17.75" customWidth="1"/>
  </cols>
  <sheetData>
    <row r="2" spans="2:5">
      <c r="B2" s="1" t="s">
        <v>4</v>
      </c>
      <c r="C2" s="1" t="s">
        <v>6</v>
      </c>
      <c r="D2" s="1" t="s">
        <v>8</v>
      </c>
      <c r="E2" s="1" t="s">
        <v>10</v>
      </c>
    </row>
    <row r="3" spans="2:5" ht="15">
      <c r="B3" s="15" t="s">
        <v>84</v>
      </c>
      <c r="C3" s="15" t="s">
        <v>28</v>
      </c>
      <c r="D3" s="11">
        <v>20</v>
      </c>
      <c r="E3" s="13">
        <v>38538</v>
      </c>
    </row>
    <row r="4" spans="2:5" ht="15">
      <c r="B4" s="15" t="s">
        <v>82</v>
      </c>
      <c r="C4" s="15" t="s">
        <v>83</v>
      </c>
      <c r="D4" s="11">
        <v>24</v>
      </c>
      <c r="E4" s="13">
        <v>35807</v>
      </c>
    </row>
    <row r="5" spans="2:5">
      <c r="B5" s="11" t="s">
        <v>29</v>
      </c>
      <c r="C5" s="11" t="s">
        <v>30</v>
      </c>
      <c r="D5" s="11">
        <v>38</v>
      </c>
      <c r="E5" s="13">
        <v>31966</v>
      </c>
    </row>
    <row r="6" spans="2:5">
      <c r="B6" s="11" t="s">
        <v>31</v>
      </c>
      <c r="C6" s="11" t="s">
        <v>32</v>
      </c>
      <c r="D6" s="11">
        <v>32</v>
      </c>
      <c r="E6" s="13">
        <v>34289</v>
      </c>
    </row>
    <row r="7" spans="2:5">
      <c r="B7" s="11" t="s">
        <v>33</v>
      </c>
      <c r="C7" s="11" t="s">
        <v>34</v>
      </c>
      <c r="D7" s="11">
        <v>45</v>
      </c>
      <c r="E7" s="13">
        <v>29252</v>
      </c>
    </row>
    <row r="8" spans="2:5">
      <c r="B8" s="11" t="s">
        <v>35</v>
      </c>
      <c r="C8" s="11" t="s">
        <v>36</v>
      </c>
      <c r="D8" s="11">
        <v>23</v>
      </c>
      <c r="E8" s="13">
        <v>37214</v>
      </c>
    </row>
    <row r="9" spans="2:5">
      <c r="B9" s="11" t="s">
        <v>37</v>
      </c>
      <c r="C9" s="11" t="s">
        <v>38</v>
      </c>
      <c r="D9" s="11">
        <v>40</v>
      </c>
      <c r="E9" s="13">
        <v>30820</v>
      </c>
    </row>
    <row r="10" spans="2:5">
      <c r="B10" s="11" t="s">
        <v>39</v>
      </c>
      <c r="C10" s="11" t="s">
        <v>40</v>
      </c>
      <c r="D10" s="11">
        <v>28</v>
      </c>
      <c r="E10" s="13">
        <v>35220</v>
      </c>
    </row>
    <row r="11" spans="2:5">
      <c r="B11" s="11" t="s">
        <v>41</v>
      </c>
      <c r="C11" s="11" t="s">
        <v>42</v>
      </c>
      <c r="D11" s="11">
        <v>35</v>
      </c>
      <c r="E11" s="13">
        <v>32841</v>
      </c>
    </row>
    <row r="12" spans="2:5">
      <c r="B12" s="11" t="s">
        <v>43</v>
      </c>
      <c r="C12" s="11" t="s">
        <v>44</v>
      </c>
      <c r="D12" s="11">
        <v>25</v>
      </c>
      <c r="E12" s="13">
        <v>36566</v>
      </c>
    </row>
    <row r="13" spans="2:5">
      <c r="B13" s="11" t="s">
        <v>45</v>
      </c>
      <c r="C13" s="11" t="s">
        <v>46</v>
      </c>
      <c r="D13" s="11">
        <v>30</v>
      </c>
      <c r="E13" s="13">
        <v>34783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D12"/>
  <sheetViews>
    <sheetView workbookViewId="0">
      <selection activeCell="A3" sqref="A3:XFD3"/>
    </sheetView>
  </sheetViews>
  <sheetFormatPr defaultColWidth="11" defaultRowHeight="13.5"/>
  <sheetData>
    <row r="2" spans="2:4">
      <c r="B2" s="1" t="s">
        <v>4</v>
      </c>
      <c r="C2" s="1" t="s">
        <v>6</v>
      </c>
      <c r="D2" s="12" t="s">
        <v>9</v>
      </c>
    </row>
    <row r="3" spans="2:4" ht="15">
      <c r="B3" s="15" t="s">
        <v>87</v>
      </c>
      <c r="C3" s="15" t="s">
        <v>28</v>
      </c>
      <c r="D3" s="11">
        <v>983456789</v>
      </c>
    </row>
    <row r="4" spans="2:4">
      <c r="B4" s="11" t="s">
        <v>29</v>
      </c>
      <c r="C4" s="11" t="s">
        <v>40</v>
      </c>
      <c r="D4" s="11">
        <v>944861128</v>
      </c>
    </row>
    <row r="5" spans="2:4">
      <c r="B5" s="11" t="s">
        <v>47</v>
      </c>
      <c r="C5" s="11" t="s">
        <v>48</v>
      </c>
      <c r="D5" s="11">
        <v>923847510</v>
      </c>
    </row>
    <row r="6" spans="2:4">
      <c r="B6" s="11" t="s">
        <v>49</v>
      </c>
      <c r="C6" s="11" t="s">
        <v>50</v>
      </c>
      <c r="D6" s="11">
        <v>900865514</v>
      </c>
    </row>
    <row r="7" spans="2:4">
      <c r="B7" s="11" t="s">
        <v>51</v>
      </c>
      <c r="C7" s="11" t="s">
        <v>52</v>
      </c>
      <c r="D7" s="11">
        <v>947768152</v>
      </c>
    </row>
    <row r="8" spans="2:4">
      <c r="B8" s="11" t="s">
        <v>53</v>
      </c>
      <c r="C8" s="11" t="s">
        <v>54</v>
      </c>
      <c r="D8" s="11">
        <v>946883172</v>
      </c>
    </row>
    <row r="9" spans="2:4">
      <c r="B9" s="11" t="s">
        <v>55</v>
      </c>
      <c r="C9" s="11" t="s">
        <v>56</v>
      </c>
      <c r="D9" s="11">
        <v>976813225</v>
      </c>
    </row>
    <row r="10" spans="2:4">
      <c r="B10" s="11" t="s">
        <v>57</v>
      </c>
      <c r="C10" s="11" t="s">
        <v>58</v>
      </c>
      <c r="D10" s="11">
        <v>986671345</v>
      </c>
    </row>
    <row r="11" spans="2:4">
      <c r="B11" s="11" t="s">
        <v>59</v>
      </c>
      <c r="C11" s="11" t="s">
        <v>60</v>
      </c>
      <c r="D11" s="11">
        <v>973186449</v>
      </c>
    </row>
    <row r="12" spans="2:4">
      <c r="B12" s="11" t="s">
        <v>61</v>
      </c>
      <c r="C12" s="11" t="s">
        <v>62</v>
      </c>
      <c r="D12" s="11">
        <v>994256112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15"/>
  <sheetViews>
    <sheetView workbookViewId="0">
      <selection activeCell="G14" sqref="G14"/>
    </sheetView>
  </sheetViews>
  <sheetFormatPr defaultColWidth="11" defaultRowHeight="13.5"/>
  <cols>
    <col min="2" max="3" width="14.25" customWidth="1"/>
    <col min="4" max="4" width="14.375" customWidth="1"/>
    <col min="5" max="5" width="18" customWidth="1"/>
  </cols>
  <sheetData>
    <row r="2" spans="2:6">
      <c r="B2" s="1" t="s">
        <v>63</v>
      </c>
      <c r="C2" s="1" t="s">
        <v>64</v>
      </c>
      <c r="D2" s="1" t="s">
        <v>65</v>
      </c>
      <c r="E2" s="1" t="s">
        <v>66</v>
      </c>
      <c r="F2" s="1" t="s">
        <v>7</v>
      </c>
    </row>
    <row r="3" spans="2:6">
      <c r="B3" s="11" t="str">
        <f>Cliente!B3&amp;" "&amp;Cliente!C3</f>
        <v>Susana Torres</v>
      </c>
      <c r="C3" s="11">
        <f>Cliente!D3</f>
        <v>983456789</v>
      </c>
      <c r="D3" s="11" t="str">
        <f>Vendedor!B4&amp;" "&amp;Vendedor!C4</f>
        <v>Axel Castaños</v>
      </c>
      <c r="E3" s="11" t="str">
        <f>Productos!B4&amp;" "&amp;"-"&amp;" "&amp;Productos!C4</f>
        <v>Teléfono - Iphone</v>
      </c>
      <c r="F3" s="11">
        <f>Productos!D4</f>
        <v>1800</v>
      </c>
    </row>
    <row r="4" spans="2:6">
      <c r="B4" s="11" t="str">
        <f>Cliente!B4&amp;" "&amp;Cliente!C4</f>
        <v>Raúl Fernández</v>
      </c>
      <c r="C4" s="11">
        <f>Cliente!D4</f>
        <v>944861128</v>
      </c>
      <c r="D4" s="11" t="str">
        <f>Vendedor!B5&amp;" "&amp;Vendedor!C5</f>
        <v>Raúl Díaz</v>
      </c>
      <c r="E4" s="11" t="str">
        <f>Productos!B5&amp;" "&amp;"-"&amp;" "&amp;Productos!C5</f>
        <v>Cámara - Canon</v>
      </c>
      <c r="F4" s="11">
        <f>Productos!D5</f>
        <v>500</v>
      </c>
    </row>
    <row r="5" spans="2:6">
      <c r="B5" s="11" t="str">
        <f>Cliente!B5&amp;" "&amp;Cliente!C5</f>
        <v>Isabel Ortega</v>
      </c>
      <c r="C5" s="11">
        <f>Cliente!D5</f>
        <v>923847510</v>
      </c>
      <c r="D5" s="11" t="str">
        <f>Vendedor!B6&amp;" "&amp;Vendedor!C6</f>
        <v>Elena Ramírez</v>
      </c>
      <c r="E5" s="11" t="str">
        <f>Productos!B6&amp;" "&amp;"-"&amp;" "&amp;Productos!C6</f>
        <v>Auriculares - Sony</v>
      </c>
      <c r="F5" s="11">
        <f>Productos!D6</f>
        <v>150</v>
      </c>
    </row>
    <row r="6" spans="2:6">
      <c r="B6" s="11" t="str">
        <f>Cliente!B6&amp;" "&amp;Cliente!C6</f>
        <v>Hugo Reyes</v>
      </c>
      <c r="C6" s="11">
        <f>Cliente!D6</f>
        <v>900865514</v>
      </c>
      <c r="D6" s="11" t="str">
        <f>Vendedor!B7&amp;" "&amp;Vendedor!C7</f>
        <v>Javier Sánchez</v>
      </c>
      <c r="E6" s="11" t="str">
        <f>Productos!B7&amp;" "&amp;"-"&amp;" "&amp;Productos!C7</f>
        <v>Impresora - HP</v>
      </c>
      <c r="F6" s="11">
        <f>Productos!D7</f>
        <v>200</v>
      </c>
    </row>
    <row r="7" spans="2:6">
      <c r="B7" s="11" t="str">
        <f>Cliente!B7&amp;" "&amp;Cliente!C7</f>
        <v>Valeria Flores</v>
      </c>
      <c r="C7" s="11">
        <f>Cliente!D7</f>
        <v>947768152</v>
      </c>
      <c r="D7" s="11" t="str">
        <f>Vendedor!B8&amp;" "&amp;Vendedor!C8</f>
        <v>Lucía Martínez</v>
      </c>
      <c r="E7" s="11" t="str">
        <f>Productos!B8&amp;" "&amp;"-"&amp;" "&amp;Productos!C8</f>
        <v>Mouse - Razer</v>
      </c>
      <c r="F7" s="11">
        <f>Productos!D8</f>
        <v>70</v>
      </c>
    </row>
    <row r="8" spans="2:6">
      <c r="B8" s="11" t="str">
        <f>Cliente!B8&amp;" "&amp;Cliente!C8</f>
        <v>Ricardo Guzmán</v>
      </c>
      <c r="C8" s="11">
        <f>Cliente!D8</f>
        <v>946883172</v>
      </c>
      <c r="D8" s="11" t="str">
        <f>Vendedor!B9&amp;" "&amp;Vendedor!C9</f>
        <v>Pedro López</v>
      </c>
      <c r="E8" s="11" t="str">
        <f>Productos!B9&amp;" "&amp;"-"&amp;" "&amp;Productos!C9</f>
        <v>Teclado - Logitech</v>
      </c>
      <c r="F8" s="11">
        <f>Productos!D9</f>
        <v>50</v>
      </c>
    </row>
    <row r="9" spans="2:6">
      <c r="B9" s="11" t="str">
        <f>Cliente!B9&amp;" "&amp;Cliente!C9</f>
        <v>Camila Salazar</v>
      </c>
      <c r="C9" s="11">
        <f>Cliente!D9</f>
        <v>976813225</v>
      </c>
      <c r="D9" s="11" t="str">
        <f>Vendedor!B10&amp;" "&amp;Vendedor!C10</f>
        <v>María Fernández</v>
      </c>
      <c r="E9" s="11" t="str">
        <f>Productos!B10&amp;" "&amp;"-"&amp;" "&amp;Productos!C10</f>
        <v>Monitor - LG</v>
      </c>
      <c r="F9" s="11">
        <f>Productos!D10</f>
        <v>300</v>
      </c>
    </row>
    <row r="10" spans="2:6">
      <c r="B10" s="11" t="str">
        <f>Cliente!B10&amp;" "&amp;Cliente!C10</f>
        <v>Fernando Rivas</v>
      </c>
      <c r="C10" s="11">
        <f>Cliente!D10</f>
        <v>986671345</v>
      </c>
      <c r="D10" s="11" t="str">
        <f>Vendedor!B11&amp;" "&amp;Vendedor!C11</f>
        <v>Luis Rodríguez</v>
      </c>
      <c r="E10" s="11" t="str">
        <f>Productos!B11&amp;" "&amp;"-"&amp;" "&amp;Productos!C11</f>
        <v>Tablet - Apple</v>
      </c>
      <c r="F10" s="11">
        <f>Productos!D11</f>
        <v>600</v>
      </c>
    </row>
    <row r="11" spans="2:6">
      <c r="B11" s="11" t="str">
        <f>Cliente!B11&amp;" "&amp;Cliente!C11</f>
        <v>Andrea Castro</v>
      </c>
      <c r="C11" s="11">
        <f>Cliente!D11</f>
        <v>973186449</v>
      </c>
      <c r="D11" s="11" t="str">
        <f>Vendedor!B12&amp;" "&amp;Vendedor!C12</f>
        <v>Ana Gómez</v>
      </c>
      <c r="E11" s="11" t="str">
        <f>Productos!B12&amp;" "&amp;"-"&amp;" "&amp;Productos!C12</f>
        <v>Teléfono - Samsung</v>
      </c>
      <c r="F11" s="11">
        <f>Productos!D12</f>
        <v>800</v>
      </c>
    </row>
    <row r="12" spans="2:6">
      <c r="B12" s="11" t="str">
        <f>Cliente!B12&amp;" "&amp;Cliente!C12</f>
        <v>Jorge Mendoza</v>
      </c>
      <c r="C12" s="11">
        <f>Cliente!D12</f>
        <v>994256112</v>
      </c>
      <c r="D12" s="11" t="str">
        <f>Vendedor!B13&amp;" "&amp;Vendedor!C13</f>
        <v>Carlos Pérez</v>
      </c>
      <c r="E12" s="11" t="str">
        <f>Productos!B13&amp;" "&amp;"-"&amp;" "&amp;Productos!C13</f>
        <v>Laptop - Dell</v>
      </c>
      <c r="F12" s="11">
        <f>Productos!D13</f>
        <v>1200</v>
      </c>
    </row>
    <row r="13" spans="2:6">
      <c r="B13" t="str">
        <f>Cliente!B13&amp;" "&amp;Cliente!C13</f>
        <v xml:space="preserve"> </v>
      </c>
      <c r="E13" s="1" t="s">
        <v>67</v>
      </c>
      <c r="F13" s="11">
        <f>SUBTOTAL(1,F3:F12)</f>
        <v>567</v>
      </c>
    </row>
    <row r="14" spans="2:6">
      <c r="B14" t="str">
        <f>Cliente!B14&amp;" "&amp;Cliente!C14</f>
        <v xml:space="preserve"> </v>
      </c>
      <c r="E14" s="1" t="s">
        <v>68</v>
      </c>
      <c r="F14" s="11">
        <f>F13*(1+19%)</f>
        <v>674.73</v>
      </c>
    </row>
    <row r="15" spans="2:6">
      <c r="E15" s="1" t="s">
        <v>69</v>
      </c>
      <c r="F15" s="11">
        <f>SUM(F3:F12)</f>
        <v>5670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K17"/>
  <sheetViews>
    <sheetView workbookViewId="0">
      <selection activeCell="J10" sqref="J10"/>
    </sheetView>
  </sheetViews>
  <sheetFormatPr defaultColWidth="11" defaultRowHeight="13.5"/>
  <cols>
    <col min="3" max="3" width="14.25" customWidth="1"/>
    <col min="4" max="4" width="12.25" customWidth="1"/>
    <col min="5" max="5" width="10.875" bestFit="1" customWidth="1"/>
    <col min="6" max="6" width="15.25" customWidth="1"/>
    <col min="8" max="8" width="12" customWidth="1"/>
    <col min="10" max="10" width="15" bestFit="1" customWidth="1"/>
  </cols>
  <sheetData>
    <row r="2" spans="2:11">
      <c r="B2" s="1" t="s">
        <v>70</v>
      </c>
      <c r="C2" s="1" t="s">
        <v>71</v>
      </c>
      <c r="D2" s="1" t="s">
        <v>72</v>
      </c>
      <c r="E2" s="1" t="s">
        <v>73</v>
      </c>
      <c r="F2" s="1" t="s">
        <v>74</v>
      </c>
      <c r="H2" s="2" t="s">
        <v>75</v>
      </c>
      <c r="I2" s="8">
        <v>40000</v>
      </c>
    </row>
    <row r="3" spans="2:11">
      <c r="B3" s="3">
        <v>0</v>
      </c>
      <c r="C3" s="4"/>
      <c r="D3" s="4"/>
      <c r="E3" s="4"/>
      <c r="F3" s="4">
        <f>I2</f>
        <v>40000</v>
      </c>
      <c r="H3" s="2" t="s">
        <v>76</v>
      </c>
      <c r="I3" s="9">
        <v>0.18</v>
      </c>
    </row>
    <row r="4" spans="2:11">
      <c r="B4" s="3">
        <v>1</v>
      </c>
      <c r="C4" s="4">
        <f>$I$6*F3</f>
        <v>556</v>
      </c>
      <c r="D4" s="5">
        <f>E4-C4</f>
        <v>3086.1183726572799</v>
      </c>
      <c r="E4" s="4">
        <f>ABS(PMT($I$6,$I$4,$I$2))</f>
        <v>3642.1183726572799</v>
      </c>
      <c r="F4" s="4">
        <f>ABS(F3-D4)</f>
        <v>36913.8816273427</v>
      </c>
      <c r="H4" s="2" t="s">
        <v>77</v>
      </c>
      <c r="I4" s="2">
        <v>12</v>
      </c>
      <c r="J4" t="s">
        <v>78</v>
      </c>
    </row>
    <row r="5" spans="2:11">
      <c r="B5" s="3">
        <v>2</v>
      </c>
      <c r="C5" s="4">
        <f t="shared" ref="C5:C15" si="0">$I$6*F4</f>
        <v>513.102954620064</v>
      </c>
      <c r="D5" s="5">
        <f t="shared" ref="D5:D15" si="1">E5-C5</f>
        <v>3129.0154180372201</v>
      </c>
      <c r="E5" s="4">
        <f t="shared" ref="E5:E15" si="2">ABS(PMT($I$6,$I$4,$I$2))</f>
        <v>3642.1183726572799</v>
      </c>
      <c r="F5" s="4">
        <f t="shared" ref="F5:F15" si="3">ABS(F4-D5)</f>
        <v>33784.866209305503</v>
      </c>
      <c r="H5" s="6"/>
      <c r="I5" s="7"/>
    </row>
    <row r="6" spans="2:11">
      <c r="B6" s="3">
        <v>3</v>
      </c>
      <c r="C6" s="4">
        <f t="shared" si="0"/>
        <v>469.60964030934599</v>
      </c>
      <c r="D6" s="5">
        <f t="shared" si="1"/>
        <v>3172.5087323479302</v>
      </c>
      <c r="E6" s="4">
        <f t="shared" si="2"/>
        <v>3642.1183726572799</v>
      </c>
      <c r="F6" s="4">
        <f t="shared" si="3"/>
        <v>30612.357476957601</v>
      </c>
      <c r="H6" s="2" t="s">
        <v>79</v>
      </c>
      <c r="I6" s="10">
        <v>1.3899999999999999E-2</v>
      </c>
    </row>
    <row r="7" spans="2:11">
      <c r="B7" s="3">
        <v>4</v>
      </c>
      <c r="C7" s="4">
        <f t="shared" si="0"/>
        <v>425.51176892971</v>
      </c>
      <c r="D7" s="5">
        <f t="shared" si="1"/>
        <v>3216.60660372757</v>
      </c>
      <c r="E7" s="4">
        <f t="shared" si="2"/>
        <v>3642.1183726572799</v>
      </c>
      <c r="F7" s="4">
        <f t="shared" si="3"/>
        <v>27395.750873230001</v>
      </c>
      <c r="H7" s="7"/>
      <c r="I7" s="7"/>
    </row>
    <row r="8" spans="2:11">
      <c r="B8" s="3">
        <v>5</v>
      </c>
      <c r="C8" s="4">
        <f t="shared" si="0"/>
        <v>380.80093713789699</v>
      </c>
      <c r="D8" s="5">
        <f t="shared" si="1"/>
        <v>3261.3174355193801</v>
      </c>
      <c r="E8" s="4">
        <f t="shared" si="2"/>
        <v>3642.1183726572799</v>
      </c>
      <c r="F8" s="4">
        <f t="shared" si="3"/>
        <v>24134.433437710599</v>
      </c>
    </row>
    <row r="9" spans="2:11">
      <c r="B9" s="3">
        <v>6</v>
      </c>
      <c r="C9" s="4">
        <f t="shared" si="0"/>
        <v>335.46862478417802</v>
      </c>
      <c r="D9" s="5">
        <f t="shared" si="1"/>
        <v>3306.6497478730998</v>
      </c>
      <c r="E9" s="4">
        <f t="shared" si="2"/>
        <v>3642.1183726572799</v>
      </c>
      <c r="F9" s="4">
        <f t="shared" si="3"/>
        <v>20827.783689837499</v>
      </c>
      <c r="J9" s="22">
        <f>(1+18%)^(1/12)-1</f>
        <v>1.3888430348409919E-2</v>
      </c>
      <c r="K9" t="s">
        <v>88</v>
      </c>
    </row>
    <row r="10" spans="2:11">
      <c r="B10" s="3">
        <v>7</v>
      </c>
      <c r="C10" s="4">
        <f t="shared" si="0"/>
        <v>289.50619328874097</v>
      </c>
      <c r="D10" s="5">
        <f t="shared" si="1"/>
        <v>3352.6121793685402</v>
      </c>
      <c r="E10" s="4">
        <f t="shared" si="2"/>
        <v>3642.1183726572799</v>
      </c>
      <c r="F10" s="4">
        <f t="shared" si="3"/>
        <v>17475.171510469001</v>
      </c>
      <c r="J10" s="23">
        <f>ABS(PMT(1.39%, 12, 40000))</f>
        <v>3642.1183726572881</v>
      </c>
    </row>
    <row r="11" spans="2:11">
      <c r="B11" s="3">
        <v>8</v>
      </c>
      <c r="C11" s="4">
        <f t="shared" si="0"/>
        <v>242.90488399551899</v>
      </c>
      <c r="D11" s="5">
        <f t="shared" si="1"/>
        <v>3399.21348866176</v>
      </c>
      <c r="E11" s="4">
        <f t="shared" si="2"/>
        <v>3642.1183726572799</v>
      </c>
      <c r="F11" s="4">
        <f t="shared" si="3"/>
        <v>14075.958021807201</v>
      </c>
    </row>
    <row r="12" spans="2:11">
      <c r="B12" s="3">
        <v>9</v>
      </c>
      <c r="C12" s="4">
        <f t="shared" si="0"/>
        <v>195.65581650312001</v>
      </c>
      <c r="D12" s="5">
        <f t="shared" si="1"/>
        <v>3446.4625561541602</v>
      </c>
      <c r="E12" s="4">
        <f t="shared" si="2"/>
        <v>3642.1183726572799</v>
      </c>
      <c r="F12" s="4">
        <f t="shared" si="3"/>
        <v>10629.495465653001</v>
      </c>
    </row>
    <row r="13" spans="2:11">
      <c r="B13" s="3">
        <v>10</v>
      </c>
      <c r="C13" s="4">
        <f t="shared" si="0"/>
        <v>147.74998697257701</v>
      </c>
      <c r="D13" s="5">
        <f t="shared" si="1"/>
        <v>3494.3683856847001</v>
      </c>
      <c r="E13" s="4">
        <f t="shared" si="2"/>
        <v>3642.1183726572799</v>
      </c>
      <c r="F13" s="4">
        <f t="shared" si="3"/>
        <v>7135.1270799683498</v>
      </c>
      <c r="J13" s="24">
        <f>ABS(PMT(I3,1,I2))</f>
        <v>47200</v>
      </c>
      <c r="K13" t="s">
        <v>89</v>
      </c>
    </row>
    <row r="14" spans="2:11">
      <c r="B14" s="3">
        <v>11</v>
      </c>
      <c r="C14" s="4">
        <f t="shared" si="0"/>
        <v>99.178266411560003</v>
      </c>
      <c r="D14" s="5">
        <f t="shared" si="1"/>
        <v>3542.94010624572</v>
      </c>
      <c r="E14" s="4">
        <f t="shared" si="2"/>
        <v>3642.1183726572799</v>
      </c>
      <c r="F14" s="4">
        <f t="shared" si="3"/>
        <v>3592.1869737226298</v>
      </c>
    </row>
    <row r="15" spans="2:11">
      <c r="B15" s="3">
        <v>12</v>
      </c>
      <c r="C15" s="4">
        <f t="shared" si="0"/>
        <v>49.9313989347445</v>
      </c>
      <c r="D15" s="5">
        <f t="shared" si="1"/>
        <v>3592.1869737225402</v>
      </c>
      <c r="E15" s="4">
        <f t="shared" si="2"/>
        <v>3642.1183726572799</v>
      </c>
      <c r="F15" s="4">
        <f t="shared" si="3"/>
        <v>9.0949470177292798E-11</v>
      </c>
    </row>
    <row r="17" spans="1:1">
      <c r="A17" t="s">
        <v>80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Registro</vt:lpstr>
      <vt:lpstr>Productos</vt:lpstr>
      <vt:lpstr>Vendedor</vt:lpstr>
      <vt:lpstr>Cliente</vt:lpstr>
      <vt:lpstr>Boleta de venta</vt:lpstr>
      <vt:lpstr>Amortización francés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César Alexander Macalopú Torres</dc:creator>
  <cp:keywords/>
  <dc:description/>
  <cp:lastModifiedBy>ALUMNO - CESAR ALEXANDER MACALOPU TORRES</cp:lastModifiedBy>
  <cp:revision/>
  <dcterms:created xsi:type="dcterms:W3CDTF">2025-04-05T03:03:00Z</dcterms:created>
  <dcterms:modified xsi:type="dcterms:W3CDTF">2026-01-16T12:19:40Z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334B6FB1895A4553BBBF0083F2D92F61_13</vt:lpwstr>
  </property>
  <property fmtid="{D5CDD505-2E9C-101B-9397-08002B2CF9AE}" pid="3" name="KSOProductBuildVer">
    <vt:lpwstr>3082-12.2.0.20782</vt:lpwstr>
  </property>
</Properties>
</file>